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franc/"/>
    </mc:Choice>
  </mc:AlternateContent>
  <xr:revisionPtr revIDLastSave="0" documentId="8_{CE6DE141-C984-0F49-B466-0D5735ED8891}" xr6:coauthVersionLast="47" xr6:coauthVersionMax="47" xr10:uidLastSave="{00000000-0000-0000-0000-000000000000}"/>
  <bookViews>
    <workbookView xWindow="0" yWindow="660" windowWidth="30240" windowHeight="17180" xr2:uid="{50D391ED-9181-FB48-AC04-404F71859FB8}"/>
  </bookViews>
  <sheets>
    <sheet name="Sheet1" sheetId="1" r:id="rId1"/>
  </sheets>
  <definedNames>
    <definedName name="_xlchart.v1.0" hidden="1">Sheet1!$A$13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A5" i="1"/>
  <c r="A13" i="1"/>
  <c r="A12" i="1"/>
  <c r="A11" i="1"/>
  <c r="A10" i="1"/>
  <c r="A9" i="1"/>
  <c r="A8" i="1"/>
  <c r="A7" i="1"/>
  <c r="A6" i="1"/>
  <c r="A4" i="1"/>
  <c r="A3" i="1"/>
</calcChain>
</file>

<file path=xl/sharedStrings.xml><?xml version="1.0" encoding="utf-8"?>
<sst xmlns="http://schemas.openxmlformats.org/spreadsheetml/2006/main" count="4" uniqueCount="4">
  <si>
    <t>Input Data Size</t>
  </si>
  <si>
    <t>Integer</t>
  </si>
  <si>
    <t>Float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</si>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</sst>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ThreeWayMergeSort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Integer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Sheet1!$A$3:$A$13</c:f>
              <c:strCache>
                <c:ptCount val="11"/>
                <c:pt idx="0">
                  <c:v>2²⁰</c:v>
                </c:pt>
                <c:pt idx="1">
                  <c:v>2²¹</c:v>
                </c:pt>
                <c:pt idx="2">
                  <c:v>2²²</c:v>
                </c:pt>
                <c:pt idx="3">
                  <c:v>2²³</c:v>
                </c:pt>
                <c:pt idx="4">
                  <c:v>2²⁴</c:v>
                </c:pt>
                <c:pt idx="5">
                  <c:v>2²⁵</c:v>
                </c:pt>
                <c:pt idx="6">
                  <c:v>2²⁶</c:v>
                </c:pt>
                <c:pt idx="7">
                  <c:v>2²⁷</c:v>
                </c:pt>
                <c:pt idx="8">
                  <c:v>2²⁸</c:v>
                </c:pt>
                <c:pt idx="9">
                  <c:v>2²⁹</c:v>
                </c:pt>
                <c:pt idx="10">
                  <c:v>2³⁰</c:v>
                </c:pt>
              </c:strCache>
            </c:strRef>
          </c:cat>
          <c:val>
            <c:numRef>
              <c:f>Sheet1!$B$3:$B$13</c:f>
              <c:numCache>
                <c:formatCode>General</c:formatCode>
                <c:ptCount val="11"/>
                <c:pt idx="0">
                  <c:v>24.1585159301757</c:v>
                </c:pt>
                <c:pt idx="1">
                  <c:v>50.2444553375244</c:v>
                </c:pt>
                <c:pt idx="2">
                  <c:v>105.245357751846</c:v>
                </c:pt>
                <c:pt idx="3">
                  <c:v>218.76437473297099</c:v>
                </c:pt>
                <c:pt idx="4">
                  <c:v>453.037286758422</c:v>
                </c:pt>
                <c:pt idx="5">
                  <c:v>931.56672358512799</c:v>
                </c:pt>
                <c:pt idx="6">
                  <c:v>1932.5709621906201</c:v>
                </c:pt>
                <c:pt idx="7">
                  <c:v>3999.9982311725598</c:v>
                </c:pt>
                <c:pt idx="8">
                  <c:v>8263.1226081848108</c:v>
                </c:pt>
                <c:pt idx="9">
                  <c:v>17099.043004274299</c:v>
                </c:pt>
                <c:pt idx="10">
                  <c:v>36119.639923810901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5D-6140-91F9-F69D8221A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570815"/>
        <c:axId val="596562751"/>
      </c:lineChart>
      <c:catAx>
        <c:axId val="59657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62751"/>
        <c:crosses val="autoZero"/>
        <c:auto val="1"/>
        <c:lblAlgn val="ctr"/>
        <c:lblOffset val="100"/>
        <c:noMultiLvlLbl val="0"/>
      </c:catAx>
      <c:valAx>
        <c:axId val="5965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MergeSort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Sheet1!$A$3:$A$13</c:f>
              <c:strCache>
                <c:ptCount val="11"/>
                <c:pt idx="0">
                  <c:v>2²⁰</c:v>
                </c:pt>
                <c:pt idx="1">
                  <c:v>2²¹</c:v>
                </c:pt>
                <c:pt idx="2">
                  <c:v>2²²</c:v>
                </c:pt>
                <c:pt idx="3">
                  <c:v>2²³</c:v>
                </c:pt>
                <c:pt idx="4">
                  <c:v>2²⁴</c:v>
                </c:pt>
                <c:pt idx="5">
                  <c:v>2²⁵</c:v>
                </c:pt>
                <c:pt idx="6">
                  <c:v>2²⁶</c:v>
                </c:pt>
                <c:pt idx="7">
                  <c:v>2²⁷</c:v>
                </c:pt>
                <c:pt idx="8">
                  <c:v>2²⁸</c:v>
                </c:pt>
                <c:pt idx="9">
                  <c:v>2²⁹</c:v>
                </c:pt>
                <c:pt idx="10">
                  <c:v>2³⁰</c:v>
                </c:pt>
              </c:strCache>
            </c:strRef>
          </c:cat>
          <c:val>
            <c:numRef>
              <c:f>Sheet1!$D$3:$D$13</c:f>
              <c:numCache>
                <c:formatCode>General</c:formatCode>
                <c:ptCount val="11"/>
                <c:pt idx="0">
                  <c:v>20971520</c:v>
                </c:pt>
                <c:pt idx="1">
                  <c:v>44040192</c:v>
                </c:pt>
                <c:pt idx="2">
                  <c:v>92274688</c:v>
                </c:pt>
                <c:pt idx="3">
                  <c:v>192937984</c:v>
                </c:pt>
                <c:pt idx="4">
                  <c:v>402653184</c:v>
                </c:pt>
                <c:pt idx="5">
                  <c:v>838860800</c:v>
                </c:pt>
                <c:pt idx="6">
                  <c:v>1744830464</c:v>
                </c:pt>
                <c:pt idx="7">
                  <c:v>3623878656</c:v>
                </c:pt>
                <c:pt idx="8">
                  <c:v>7516192768</c:v>
                </c:pt>
                <c:pt idx="9">
                  <c:v>15569256448.000002</c:v>
                </c:pt>
                <c:pt idx="10">
                  <c:v>32212254720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2-3E41-9409-26B3D980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570367"/>
        <c:axId val="1110441279"/>
      </c:lineChart>
      <c:catAx>
        <c:axId val="76957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41279"/>
        <c:crosses val="autoZero"/>
        <c:auto val="1"/>
        <c:lblAlgn val="ctr"/>
        <c:lblOffset val="100"/>
        <c:noMultiLvlLbl val="0"/>
      </c:catAx>
      <c:valAx>
        <c:axId val="11104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57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ThreeWayMergeSort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Float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Sheet1!$A$3:$A$13</c:f>
              <c:strCache>
                <c:ptCount val="11"/>
                <c:pt idx="0">
                  <c:v>2²⁰</c:v>
                </c:pt>
                <c:pt idx="1">
                  <c:v>2²¹</c:v>
                </c:pt>
                <c:pt idx="2">
                  <c:v>2²²</c:v>
                </c:pt>
                <c:pt idx="3">
                  <c:v>2²³</c:v>
                </c:pt>
                <c:pt idx="4">
                  <c:v>2²⁴</c:v>
                </c:pt>
                <c:pt idx="5">
                  <c:v>2²⁵</c:v>
                </c:pt>
                <c:pt idx="6">
                  <c:v>2²⁶</c:v>
                </c:pt>
                <c:pt idx="7">
                  <c:v>2²⁷</c:v>
                </c:pt>
                <c:pt idx="8">
                  <c:v>2²⁸</c:v>
                </c:pt>
                <c:pt idx="9">
                  <c:v>2²⁹</c:v>
                </c:pt>
                <c:pt idx="10">
                  <c:v>2³⁰</c:v>
                </c:pt>
              </c:strCache>
            </c:str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24.119051218032801</c:v>
                </c:pt>
                <c:pt idx="1">
                  <c:v>50.621923923492403</c:v>
                </c:pt>
                <c:pt idx="2">
                  <c:v>105.900201797485</c:v>
                </c:pt>
                <c:pt idx="3">
                  <c:v>218.67034554481501</c:v>
                </c:pt>
                <c:pt idx="4">
                  <c:v>462.77016687393098</c:v>
                </c:pt>
                <c:pt idx="5">
                  <c:v>943.41665554046597</c:v>
                </c:pt>
                <c:pt idx="6">
                  <c:v>1949.78408336639</c:v>
                </c:pt>
                <c:pt idx="7">
                  <c:v>4021.6011052131598</c:v>
                </c:pt>
                <c:pt idx="8">
                  <c:v>8349.8881936073303</c:v>
                </c:pt>
                <c:pt idx="9">
                  <c:v>17185.9334475994</c:v>
                </c:pt>
                <c:pt idx="10">
                  <c:v>36473.600649833599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68-2740-95E9-C71D1F1F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570815"/>
        <c:axId val="596562751"/>
      </c:lineChart>
      <c:catAx>
        <c:axId val="59657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62751"/>
        <c:crosses val="autoZero"/>
        <c:auto val="1"/>
        <c:lblAlgn val="ctr"/>
        <c:lblOffset val="100"/>
        <c:noMultiLvlLbl val="0"/>
      </c:catAx>
      <c:valAx>
        <c:axId val="5965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317500</xdr:colOff>
      <xdr:row>2</xdr:row>
      <xdr:rowOff>139700</xdr:rowOff>
    </xdr:from>
    <xdr:to>
      <xdr:col>17</xdr:col>
      <xdr:colOff>631444</xdr:colOff>
      <xdr:row>24</xdr:row>
      <xdr:rowOff>3556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78157-66FC-3296-9F05-FF1784AF0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25</xdr:row>
      <xdr:rowOff>0</xdr:rowOff>
    </xdr:from>
    <xdr:to>
      <xdr:col>9</xdr:col>
      <xdr:colOff>787400</xdr:colOff>
      <xdr:row>38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D72EC-F89A-56DD-30EC-9F9A837CB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393700</xdr:colOff>
      <xdr:row>2</xdr:row>
      <xdr:rowOff>101600</xdr:rowOff>
    </xdr:from>
    <xdr:to>
      <xdr:col>10</xdr:col>
      <xdr:colOff>707644</xdr:colOff>
      <xdr:row>23</xdr:row>
      <xdr:rowOff>168656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FF7C4D-509C-1192-B316-3C4F5109C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72B7-1AE8-8A4D-96FC-2A28364EA14E}">
  <dimension ref="A1:D13"/>
  <sheetViews>
    <sheetView tabSelected="1" workbookViewId="0">
      <selection activeCell="M31" sqref="M31"/>
    </sheetView>
  </sheetViews>
  <sheetFormatPr baseColWidth="10" defaultRowHeight="16" x14ac:dyDescent="0.2"/>
  <cols>
    <col min="1" max="1" width="13.6640625" customWidth="1"/>
    <col min="4" max="4" width="11.1640625" customWidth="1"/>
  </cols>
  <sheetData>
    <row r="1" spans="1:4" x14ac:dyDescent="0.2">
      <c r="B1" s="1" t="s">
        <v>1</v>
      </c>
      <c r="C1" s="1" t="s">
        <v>2</v>
      </c>
    </row>
    <row r="2" spans="1:4" x14ac:dyDescent="0.2">
      <c r="A2" t="s">
        <v>0</v>
      </c>
      <c r="B2" s="2" t="s">
        <v>3</v>
      </c>
      <c r="C2" s="2"/>
    </row>
    <row r="3" spans="1:4" x14ac:dyDescent="0.2">
      <c r="A3" t="str">
        <f>"2"&amp;_xlfn.UNICHAR(178)&amp;_xlfn.UNICHAR(8304)</f>
        <v>2²⁰</v>
      </c>
      <c r="B3">
        <v>24.1585159301757</v>
      </c>
      <c r="C3">
        <v>24.119051218032801</v>
      </c>
      <c r="D3">
        <f>(2^20)*LOG(2^20,2)</f>
        <v>20971520</v>
      </c>
    </row>
    <row r="4" spans="1:4" x14ac:dyDescent="0.2">
      <c r="A4" t="str">
        <f>"2"&amp;_xlfn.UNICHAR(178)&amp;_xlfn.UNICHAR(185)</f>
        <v>2²¹</v>
      </c>
      <c r="B4">
        <v>50.2444553375244</v>
      </c>
      <c r="C4">
        <v>50.621923923492403</v>
      </c>
      <c r="D4">
        <f>(2^21)*LOG(2^21,2)</f>
        <v>44040192</v>
      </c>
    </row>
    <row r="5" spans="1:4" x14ac:dyDescent="0.2">
      <c r="A5" t="str">
        <f>"2"&amp;_xlfn.UNICHAR(178)&amp;_xlfn.UNICHAR(178)</f>
        <v>2²²</v>
      </c>
      <c r="B5">
        <v>105.245357751846</v>
      </c>
      <c r="C5">
        <v>105.900201797485</v>
      </c>
      <c r="D5">
        <f>(2^22)*LOG(2^22,2)</f>
        <v>92274688</v>
      </c>
    </row>
    <row r="6" spans="1:4" x14ac:dyDescent="0.2">
      <c r="A6" t="str">
        <f>"2"&amp;_xlfn.UNICHAR(178)&amp;_xlfn.UNICHAR(179)</f>
        <v>2²³</v>
      </c>
      <c r="B6">
        <v>218.76437473297099</v>
      </c>
      <c r="C6">
        <v>218.67034554481501</v>
      </c>
      <c r="D6">
        <f>(2^23)*LOG(2^23,2)</f>
        <v>192937984</v>
      </c>
    </row>
    <row r="7" spans="1:4" x14ac:dyDescent="0.2">
      <c r="A7" t="str">
        <f>"2"&amp;_xlfn.UNICHAR(178)&amp;_xlfn.UNICHAR(8308)</f>
        <v>2²⁴</v>
      </c>
      <c r="B7">
        <v>453.037286758422</v>
      </c>
      <c r="C7">
        <v>462.77016687393098</v>
      </c>
      <c r="D7">
        <f>(2^24)*LOG(2^24,2)</f>
        <v>402653184</v>
      </c>
    </row>
    <row r="8" spans="1:4" x14ac:dyDescent="0.2">
      <c r="A8" t="str">
        <f>"2"&amp;_xlfn.UNICHAR(178)&amp;_xlfn.UNICHAR(8309)</f>
        <v>2²⁵</v>
      </c>
      <c r="B8">
        <v>931.56672358512799</v>
      </c>
      <c r="C8">
        <v>943.41665554046597</v>
      </c>
      <c r="D8">
        <f>(2^25)*LOG(2^25,2)</f>
        <v>838860800</v>
      </c>
    </row>
    <row r="9" spans="1:4" x14ac:dyDescent="0.2">
      <c r="A9" t="str">
        <f>"2"&amp;_xlfn.UNICHAR(178)&amp;_xlfn.UNICHAR(8310)</f>
        <v>2²⁶</v>
      </c>
      <c r="B9">
        <v>1932.5709621906201</v>
      </c>
      <c r="C9">
        <v>1949.78408336639</v>
      </c>
      <c r="D9">
        <f>(2^26)*LOG(2^26,2)</f>
        <v>1744830464</v>
      </c>
    </row>
    <row r="10" spans="1:4" x14ac:dyDescent="0.2">
      <c r="A10" t="str">
        <f>"2"&amp;_xlfn.UNICHAR(178)&amp;_xlfn.UNICHAR(8311)</f>
        <v>2²⁷</v>
      </c>
      <c r="B10">
        <v>3999.9982311725598</v>
      </c>
      <c r="C10">
        <v>4021.6011052131598</v>
      </c>
      <c r="D10">
        <f>(2^27)*LOG(2^27,2)</f>
        <v>3623878656</v>
      </c>
    </row>
    <row r="11" spans="1:4" x14ac:dyDescent="0.2">
      <c r="A11" t="str">
        <f>"2"&amp;_xlfn.UNICHAR(178)&amp;_xlfn.UNICHAR(8312)</f>
        <v>2²⁸</v>
      </c>
      <c r="B11">
        <v>8263.1226081848108</v>
      </c>
      <c r="C11">
        <v>8349.8881936073303</v>
      </c>
      <c r="D11">
        <f>(2^28)*LOG(2^28,2)</f>
        <v>7516192768</v>
      </c>
    </row>
    <row r="12" spans="1:4" x14ac:dyDescent="0.2">
      <c r="A12" t="str">
        <f>"2"&amp;_xlfn.UNICHAR(178)&amp;_xlfn.UNICHAR(8313)</f>
        <v>2²⁹</v>
      </c>
      <c r="B12">
        <v>17099.043004274299</v>
      </c>
      <c r="C12">
        <v>17185.9334475994</v>
      </c>
      <c r="D12">
        <f>(2^29)*LOG(2^29,2)</f>
        <v>15569256448.000002</v>
      </c>
    </row>
    <row r="13" spans="1:4" x14ac:dyDescent="0.2">
      <c r="A13" t="str">
        <f>"2"&amp;_xlfn.UNICHAR(179)&amp;_xlfn.UNICHAR(8304)</f>
        <v>2³⁰</v>
      </c>
      <c r="B13">
        <v>36119.639923810901</v>
      </c>
      <c r="C13">
        <v>36473.600649833599</v>
      </c>
      <c r="D13">
        <f>(2^30)*LOG(2^30,2)</f>
        <v>32212254720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Katriska Chinyere</dc:creator>
  <cp:lastModifiedBy>Francis, Katriska Chinyere</cp:lastModifiedBy>
  <dcterms:created xsi:type="dcterms:W3CDTF">2026-04-02T15:55:54Z</dcterms:created>
  <dcterms:modified xsi:type="dcterms:W3CDTF">2026-04-05T11:06:21Z</dcterms:modified>
</cp:coreProperties>
</file>